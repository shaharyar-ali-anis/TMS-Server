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:\Shared drives\Projects\SDAIA\Documents\Internal\"/>
    </mc:Choice>
  </mc:AlternateContent>
  <xr:revisionPtr revIDLastSave="0" documentId="13_ncr:1_{E20E358B-E8CA-4E94-B904-5A8A3D010EEB}" xr6:coauthVersionLast="47" xr6:coauthVersionMax="47" xr10:uidLastSave="{00000000-0000-0000-0000-000000000000}"/>
  <bookViews>
    <workbookView xWindow="-28920" yWindow="-120" windowWidth="29040" windowHeight="15990" xr2:uid="{00000000-000D-0000-FFFF-FFFF00000000}"/>
  </bookViews>
  <sheets>
    <sheet name="Bandwidth Calc" sheetId="1" r:id="rId1"/>
  </sheets>
  <calcPr calcId="181029"/>
</workbook>
</file>

<file path=xl/calcChain.xml><?xml version="1.0" encoding="utf-8"?>
<calcChain xmlns="http://schemas.openxmlformats.org/spreadsheetml/2006/main">
  <c r="C28" i="1" l="1"/>
  <c r="C29" i="1" s="1"/>
  <c r="C31" i="1" s="1"/>
  <c r="C16" i="1"/>
  <c r="C10" i="1"/>
  <c r="C5" i="1"/>
  <c r="C22" i="1" s="1"/>
  <c r="C7" i="1"/>
  <c r="C6" i="1"/>
  <c r="C30" i="1" l="1"/>
  <c r="C17" i="1"/>
  <c r="C18" i="1" s="1"/>
  <c r="C19" i="1" s="1"/>
  <c r="C11" i="1"/>
  <c r="C12" i="1" s="1"/>
  <c r="C23" i="1"/>
  <c r="C25" i="1" l="1"/>
  <c r="C24" i="1"/>
  <c r="C34" i="1"/>
  <c r="C13" i="1"/>
  <c r="B34" i="1"/>
  <c r="B38" i="1" l="1"/>
  <c r="B37" i="1"/>
  <c r="C37" i="1"/>
  <c r="C38" i="1"/>
</calcChain>
</file>

<file path=xl/sharedStrings.xml><?xml version="1.0" encoding="utf-8"?>
<sst xmlns="http://schemas.openxmlformats.org/spreadsheetml/2006/main" count="75" uniqueCount="45">
  <si>
    <t>Description</t>
  </si>
  <si>
    <t>Units</t>
  </si>
  <si>
    <t>Value</t>
  </si>
  <si>
    <t>Notes</t>
  </si>
  <si>
    <t>Events Storage in Days backend</t>
  </si>
  <si>
    <t>Days</t>
  </si>
  <si>
    <t>No of cameras</t>
  </si>
  <si>
    <t>#</t>
  </si>
  <si>
    <t>Daily # of ALPR packages</t>
  </si>
  <si>
    <t>Daily # of violations packages</t>
  </si>
  <si>
    <t>per event Average record size (KB)</t>
  </si>
  <si>
    <t>ALPR event package size</t>
  </si>
  <si>
    <t>KB</t>
  </si>
  <si>
    <t>Average</t>
  </si>
  <si>
    <t>Average Vehicle crop image (KB)</t>
  </si>
  <si>
    <t>Violations event package size</t>
  </si>
  <si>
    <t>Average plate crop image (KB)</t>
  </si>
  <si>
    <t>Average violation image (KB)</t>
  </si>
  <si>
    <t>Server storage (Images)</t>
  </si>
  <si>
    <t>ALPR events/camera</t>
  </si>
  <si>
    <t>GB</t>
  </si>
  <si>
    <t>Violations events/camera</t>
  </si>
  <si>
    <t>Total / Camera</t>
  </si>
  <si>
    <r>
      <rPr>
        <sz val="10"/>
        <color theme="1"/>
        <rFont val="Arial"/>
      </rPr>
      <t xml:space="preserve">Combined for </t>
    </r>
    <r>
      <rPr>
        <b/>
        <sz val="10"/>
        <color theme="1"/>
        <rFont val="Arial"/>
      </rPr>
      <t>all</t>
    </r>
    <r>
      <rPr>
        <sz val="10"/>
        <color theme="1"/>
        <rFont val="Arial"/>
      </rPr>
      <t xml:space="preserve"> cameras</t>
    </r>
  </si>
  <si>
    <t>Server storage (DB)</t>
  </si>
  <si>
    <t>MB</t>
  </si>
  <si>
    <t>Total / Cameras</t>
  </si>
  <si>
    <r>
      <rPr>
        <sz val="10"/>
        <color theme="1"/>
        <rFont val="Arial"/>
      </rPr>
      <t xml:space="preserve">Combined for </t>
    </r>
    <r>
      <rPr>
        <b/>
        <sz val="10"/>
        <color theme="1"/>
        <rFont val="Arial"/>
      </rPr>
      <t>all</t>
    </r>
    <r>
      <rPr>
        <sz val="10"/>
        <color theme="1"/>
        <rFont val="Arial"/>
      </rPr>
      <t xml:space="preserve"> cameras</t>
    </r>
  </si>
  <si>
    <t>Throughput calculator (Events)</t>
  </si>
  <si>
    <t>Hourly Data/camera</t>
  </si>
  <si>
    <t>Hourly Data for all cameras</t>
  </si>
  <si>
    <t>Throughput Required</t>
  </si>
  <si>
    <t>Mbps</t>
  </si>
  <si>
    <t>Throughput calculator (Live CCTV view)</t>
  </si>
  <si>
    <t>Quality</t>
  </si>
  <si>
    <t>Non-Peak hour throughput/camera</t>
  </si>
  <si>
    <t>Peak hour throughput/camera</t>
  </si>
  <si>
    <t>For all cameras (Non-peak)</t>
  </si>
  <si>
    <t>For all cameras (Peak)</t>
  </si>
  <si>
    <r>
      <rPr>
        <b/>
        <sz val="10"/>
        <color theme="1"/>
        <rFont val="Arial"/>
      </rPr>
      <t xml:space="preserve">Total Throughput required
</t>
    </r>
    <r>
      <rPr>
        <sz val="10"/>
        <color theme="1"/>
        <rFont val="Arial"/>
      </rPr>
      <t>Events + Live CCTV</t>
    </r>
  </si>
  <si>
    <t>Peak</t>
  </si>
  <si>
    <r>
      <rPr>
        <b/>
        <sz val="10"/>
        <color theme="1"/>
        <rFont val="Arial"/>
      </rPr>
      <t xml:space="preserve">Total Data Package required
</t>
    </r>
    <r>
      <rPr>
        <sz val="10"/>
        <color theme="1"/>
        <rFont val="Arial"/>
      </rPr>
      <t>Events + Live CCTV</t>
    </r>
  </si>
  <si>
    <t>Select Quality</t>
  </si>
  <si>
    <t>Full-HD</t>
  </si>
  <si>
    <t>Daily Data for all cameras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</si>
</sst>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%"/>
    <numFmt numFmtId="165" formatCode="#,###.00\ &quot;KB&quot;"/>
    <numFmt numFmtId="166" formatCode="0.0"/>
    <numFmt numFmtId="167" formatCode="0.00\ &quot;GB&quot;"/>
    <numFmt numFmtId="168" formatCode="0.00\ &quot;TB&quot;"/>
    <numFmt numFmtId="169" formatCode="0.0\ &quot;Mbps&quot;"/>
    <numFmt numFmtId="170" formatCode="#,###.0\ &quot;GB/Month&quot;"/>
    <numFmt numFmtId="171" formatCode="#,###.0\ &quot;GB/Day&quot;"/>
  </numFmts>
  <fonts count="12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9"/>
      <color theme="1"/>
      <name val="Arial"/>
      <scheme val="minor"/>
    </font>
    <font>
      <b/>
      <sz val="10"/>
      <color rgb="FF0000FF"/>
      <name val="Arial"/>
      <scheme val="minor"/>
    </font>
    <font>
      <sz val="10"/>
      <name val="Arial"/>
    </font>
    <font>
      <b/>
      <sz val="10"/>
      <color rgb="FFFF0000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</font>
    <font>
      <b/>
      <sz val="10"/>
      <color rgb="FF00B05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2" borderId="1" xfId="0" applyFont="1" applyFill="1" applyBorder="1"/>
    <xf numFmtId="0" fontId="1" fillId="0" borderId="1" xfId="0" applyFont="1" applyBorder="1"/>
    <xf numFmtId="164" fontId="3" fillId="2" borderId="1" xfId="0" applyNumberFormat="1" applyFont="1" applyFill="1" applyBorder="1" applyAlignment="1">
      <alignment horizontal="center"/>
    </xf>
    <xf numFmtId="165" fontId="2" fillId="2" borderId="1" xfId="0" applyNumberFormat="1" applyFont="1" applyFill="1" applyBorder="1"/>
    <xf numFmtId="0" fontId="2" fillId="0" borderId="0" xfId="0" applyFont="1"/>
    <xf numFmtId="4" fontId="2" fillId="0" borderId="1" xfId="0" applyNumberFormat="1" applyFont="1" applyBorder="1"/>
    <xf numFmtId="0" fontId="3" fillId="0" borderId="1" xfId="0" applyFont="1" applyBorder="1" applyAlignment="1">
      <alignment horizontal="center"/>
    </xf>
    <xf numFmtId="0" fontId="1" fillId="3" borderId="1" xfId="0" applyFont="1" applyFill="1" applyBorder="1"/>
    <xf numFmtId="166" fontId="2" fillId="0" borderId="1" xfId="0" applyNumberFormat="1" applyFont="1" applyBorder="1"/>
    <xf numFmtId="167" fontId="2" fillId="0" borderId="0" xfId="0" applyNumberFormat="1" applyFont="1"/>
    <xf numFmtId="168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7" fontId="2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/>
    </xf>
    <xf numFmtId="2" fontId="4" fillId="0" borderId="1" xfId="0" applyNumberFormat="1" applyFont="1" applyBorder="1"/>
    <xf numFmtId="169" fontId="6" fillId="0" borderId="1" xfId="0" applyNumberFormat="1" applyFont="1" applyBorder="1" applyAlignment="1">
      <alignment horizontal="center"/>
    </xf>
    <xf numFmtId="2" fontId="9" fillId="0" borderId="0" xfId="0" applyNumberFormat="1" applyFont="1"/>
    <xf numFmtId="171" fontId="11" fillId="0" borderId="1" xfId="0" applyNumberFormat="1" applyFont="1" applyBorder="1" applyAlignment="1">
      <alignment horizontal="center"/>
    </xf>
    <xf numFmtId="170" fontId="11" fillId="0" borderId="1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3" xfId="0" applyFont="1" applyBorder="1"/>
    <xf numFmtId="0" fontId="2" fillId="4" borderId="4" xfId="0" applyFont="1" applyFill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/>
    </xf>
    <xf numFmtId="0" fontId="10" fillId="0" borderId="2" xfId="0" applyFont="1" applyBorder="1" applyAlignment="1">
      <alignment horizontal="left" vertical="center" wrapText="1"/>
    </xf>
    <xf numFmtId="2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38"/>
  <sheetViews>
    <sheetView showGridLines="0" tabSelected="1" workbookViewId="0">
      <selection activeCell="C5" sqref="C5"/>
    </sheetView>
  </sheetViews>
  <sheetFormatPr defaultColWidth="12.5703125" defaultRowHeight="15.75" customHeight="1" x14ac:dyDescent="0.2"/>
  <cols>
    <col min="1" max="1" width="52.5703125" customWidth="1"/>
    <col min="2" max="3" width="17.85546875" bestFit="1" customWidth="1"/>
    <col min="4" max="4" width="9.42578125" customWidth="1"/>
    <col min="5" max="5" width="10.7109375" customWidth="1"/>
    <col min="6" max="6" width="11.5703125" customWidth="1"/>
    <col min="7" max="7" width="28.85546875" customWidth="1"/>
    <col min="8" max="8" width="13.42578125" customWidth="1"/>
  </cols>
  <sheetData>
    <row r="1" spans="1:7" ht="12.75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7" ht="12.75" x14ac:dyDescent="0.2">
      <c r="A2" s="2" t="s">
        <v>4</v>
      </c>
      <c r="B2" s="3" t="s">
        <v>5</v>
      </c>
      <c r="C2" s="4">
        <v>60</v>
      </c>
      <c r="D2" s="2"/>
    </row>
    <row r="3" spans="1:7" ht="12.75" x14ac:dyDescent="0.2">
      <c r="A3" s="5" t="s">
        <v>6</v>
      </c>
      <c r="B3" s="3" t="s">
        <v>7</v>
      </c>
      <c r="C3" s="4">
        <v>1</v>
      </c>
      <c r="D3" s="2"/>
    </row>
    <row r="4" spans="1:7" ht="12.75" x14ac:dyDescent="0.2">
      <c r="A4" s="2" t="s">
        <v>8</v>
      </c>
      <c r="B4" s="3" t="s">
        <v>7</v>
      </c>
      <c r="C4" s="4">
        <v>10000</v>
      </c>
      <c r="D4" s="2"/>
    </row>
    <row r="5" spans="1:7" ht="12.75" x14ac:dyDescent="0.2">
      <c r="A5" s="2" t="s">
        <v>9</v>
      </c>
      <c r="B5" s="3" t="s">
        <v>7</v>
      </c>
      <c r="C5" s="4">
        <f>ROUND(C4*D5,0)</f>
        <v>0</v>
      </c>
      <c r="D5" s="6">
        <v>0</v>
      </c>
      <c r="F5" s="7">
        <v>1.3311999999999999</v>
      </c>
      <c r="G5" s="8" t="s">
        <v>10</v>
      </c>
    </row>
    <row r="6" spans="1:7" ht="12.75" x14ac:dyDescent="0.2">
      <c r="A6" s="2" t="s">
        <v>11</v>
      </c>
      <c r="B6" s="3" t="s">
        <v>12</v>
      </c>
      <c r="C6" s="9">
        <f>F6+F7</f>
        <v>313.08670000000001</v>
      </c>
      <c r="D6" s="10" t="s">
        <v>13</v>
      </c>
      <c r="F6" s="7">
        <v>308.67</v>
      </c>
      <c r="G6" s="8" t="s">
        <v>14</v>
      </c>
    </row>
    <row r="7" spans="1:7" ht="12.75" x14ac:dyDescent="0.2">
      <c r="A7" s="2" t="s">
        <v>15</v>
      </c>
      <c r="B7" s="3" t="s">
        <v>12</v>
      </c>
      <c r="C7" s="9">
        <f>F8+F7</f>
        <v>4325.7166999999999</v>
      </c>
      <c r="D7" s="10" t="s">
        <v>13</v>
      </c>
      <c r="F7" s="7">
        <v>4.4166999999999996</v>
      </c>
      <c r="G7" s="8" t="s">
        <v>16</v>
      </c>
    </row>
    <row r="8" spans="1:7" ht="12.75" x14ac:dyDescent="0.2">
      <c r="A8" s="2"/>
      <c r="B8" s="3"/>
      <c r="C8" s="2"/>
      <c r="D8" s="2"/>
      <c r="F8" s="7">
        <v>4321.3</v>
      </c>
      <c r="G8" s="8" t="s">
        <v>17</v>
      </c>
    </row>
    <row r="9" spans="1:7" ht="12.75" x14ac:dyDescent="0.2">
      <c r="A9" s="11" t="s">
        <v>18</v>
      </c>
      <c r="B9" s="1" t="s">
        <v>1</v>
      </c>
      <c r="C9" s="1" t="s">
        <v>2</v>
      </c>
      <c r="D9" s="1" t="s">
        <v>3</v>
      </c>
    </row>
    <row r="10" spans="1:7" ht="12.75" x14ac:dyDescent="0.2">
      <c r="A10" s="2" t="s">
        <v>19</v>
      </c>
      <c r="B10" s="3" t="s">
        <v>20</v>
      </c>
      <c r="C10" s="29">
        <f>(C2*(C4*C6))/1024/1024</f>
        <v>179.1496467590332</v>
      </c>
      <c r="D10" s="2"/>
      <c r="E10" s="13"/>
    </row>
    <row r="11" spans="1:7" ht="12.75" x14ac:dyDescent="0.2">
      <c r="A11" s="2" t="s">
        <v>21</v>
      </c>
      <c r="B11" s="3" t="s">
        <v>20</v>
      </c>
      <c r="C11" s="29">
        <f>(C2*(C5*C7))/1000/1000</f>
        <v>0</v>
      </c>
      <c r="D11" s="2"/>
      <c r="E11" s="13"/>
    </row>
    <row r="12" spans="1:7" ht="12.75" x14ac:dyDescent="0.2">
      <c r="A12" s="2" t="s">
        <v>22</v>
      </c>
      <c r="B12" s="3" t="s">
        <v>20</v>
      </c>
      <c r="C12" s="29">
        <f>C11+C10</f>
        <v>179.1496467590332</v>
      </c>
      <c r="D12" s="2"/>
      <c r="E12" s="13"/>
    </row>
    <row r="13" spans="1:7" ht="12.75" x14ac:dyDescent="0.2">
      <c r="A13" s="2" t="s">
        <v>23</v>
      </c>
      <c r="B13" s="3" t="s">
        <v>20</v>
      </c>
      <c r="C13" s="29">
        <f>((C10+C11)*C3)</f>
        <v>179.1496467590332</v>
      </c>
      <c r="D13" s="2"/>
      <c r="E13" s="14"/>
    </row>
    <row r="14" spans="1:7" ht="12.75" x14ac:dyDescent="0.2">
      <c r="B14" s="15"/>
    </row>
    <row r="15" spans="1:7" ht="12.75" x14ac:dyDescent="0.2">
      <c r="A15" s="11" t="s">
        <v>24</v>
      </c>
      <c r="B15" s="1" t="s">
        <v>1</v>
      </c>
      <c r="C15" s="1" t="s">
        <v>2</v>
      </c>
      <c r="D15" s="1" t="s">
        <v>3</v>
      </c>
    </row>
    <row r="16" spans="1:7" ht="12.75" x14ac:dyDescent="0.2">
      <c r="A16" s="2" t="s">
        <v>19</v>
      </c>
      <c r="B16" s="3" t="s">
        <v>20</v>
      </c>
      <c r="C16" s="29">
        <f>(C2*(C4*F5))/1024/1024</f>
        <v>0.76171875</v>
      </c>
      <c r="D16" s="2"/>
    </row>
    <row r="17" spans="1:5" ht="12.75" x14ac:dyDescent="0.2">
      <c r="A17" s="2" t="s">
        <v>21</v>
      </c>
      <c r="B17" s="3" t="s">
        <v>20</v>
      </c>
      <c r="C17" s="29">
        <f>(C2*(C5*F5))/1000/1024</f>
        <v>0</v>
      </c>
      <c r="D17" s="2"/>
    </row>
    <row r="18" spans="1:5" ht="12.75" x14ac:dyDescent="0.2">
      <c r="A18" s="2" t="s">
        <v>26</v>
      </c>
      <c r="B18" s="3" t="s">
        <v>20</v>
      </c>
      <c r="C18" s="29">
        <f>C17+C16</f>
        <v>0.76171875</v>
      </c>
      <c r="D18" s="2"/>
    </row>
    <row r="19" spans="1:5" ht="12.75" x14ac:dyDescent="0.2">
      <c r="A19" s="2" t="s">
        <v>27</v>
      </c>
      <c r="B19" s="3" t="s">
        <v>20</v>
      </c>
      <c r="C19" s="29">
        <f>C18*C3</f>
        <v>0.76171875</v>
      </c>
      <c r="D19" s="2"/>
      <c r="E19" s="16"/>
    </row>
    <row r="20" spans="1:5" ht="12.75" x14ac:dyDescent="0.2">
      <c r="B20" s="15"/>
    </row>
    <row r="21" spans="1:5" ht="12.75" x14ac:dyDescent="0.2">
      <c r="A21" s="11" t="s">
        <v>28</v>
      </c>
      <c r="B21" s="1" t="s">
        <v>1</v>
      </c>
      <c r="C21" s="1" t="s">
        <v>2</v>
      </c>
    </row>
    <row r="22" spans="1:5" ht="12.75" x14ac:dyDescent="0.2">
      <c r="A22" s="2" t="s">
        <v>29</v>
      </c>
      <c r="B22" s="3" t="s">
        <v>25</v>
      </c>
      <c r="C22" s="12">
        <f>(((C4*(C6+F5))+(C5*(C7+F5)))/1024)/24</f>
        <v>127.93697102864586</v>
      </c>
    </row>
    <row r="23" spans="1:5" ht="12.75" x14ac:dyDescent="0.2">
      <c r="A23" s="2" t="s">
        <v>30</v>
      </c>
      <c r="B23" s="3" t="s">
        <v>25</v>
      </c>
      <c r="C23" s="12">
        <f>C22*C3</f>
        <v>127.93697102864586</v>
      </c>
    </row>
    <row r="24" spans="1:5" ht="12.75" x14ac:dyDescent="0.2">
      <c r="A24" s="2" t="s">
        <v>44</v>
      </c>
      <c r="B24" s="3" t="s">
        <v>20</v>
      </c>
      <c r="C24" s="12">
        <f>C23*24/1024</f>
        <v>2.9985227584838872</v>
      </c>
    </row>
    <row r="25" spans="1:5" ht="12.75" x14ac:dyDescent="0.2">
      <c r="A25" s="2" t="s">
        <v>31</v>
      </c>
      <c r="B25" s="3" t="s">
        <v>32</v>
      </c>
      <c r="C25" s="18">
        <f>C23/60/60*8</f>
        <v>0.28430438006365749</v>
      </c>
    </row>
    <row r="26" spans="1:5" ht="12.75" x14ac:dyDescent="0.2">
      <c r="B26" s="15"/>
    </row>
    <row r="27" spans="1:5" ht="12.75" x14ac:dyDescent="0.2">
      <c r="A27" s="11" t="s">
        <v>33</v>
      </c>
      <c r="B27" s="23" t="s">
        <v>34</v>
      </c>
      <c r="C27" s="25" t="s">
        <v>43</v>
      </c>
      <c r="D27" t="s">
        <v>42</v>
      </c>
    </row>
    <row r="28" spans="1:5" ht="12.75" x14ac:dyDescent="0.2">
      <c r="A28" s="2" t="s">
        <v>35</v>
      </c>
      <c r="B28" s="3" t="s">
        <v>32</v>
      </c>
      <c r="C28" s="24">
        <f>IF(C27="4k",3,3/4)</f>
        <v>0.75</v>
      </c>
    </row>
    <row r="29" spans="1:5" ht="12.75" x14ac:dyDescent="0.2">
      <c r="A29" s="2" t="s">
        <v>36</v>
      </c>
      <c r="B29" s="3" t="s">
        <v>32</v>
      </c>
      <c r="C29" s="2">
        <f>C28*3</f>
        <v>2.25</v>
      </c>
    </row>
    <row r="30" spans="1:5" ht="12.75" x14ac:dyDescent="0.2">
      <c r="A30" s="2" t="s">
        <v>37</v>
      </c>
      <c r="B30" s="3" t="s">
        <v>32</v>
      </c>
      <c r="C30" s="18">
        <f>C28*C3</f>
        <v>0.75</v>
      </c>
    </row>
    <row r="31" spans="1:5" ht="12.75" x14ac:dyDescent="0.2">
      <c r="A31" s="2" t="s">
        <v>38</v>
      </c>
      <c r="B31" s="3" t="s">
        <v>32</v>
      </c>
      <c r="C31" s="18">
        <f>C29*C3</f>
        <v>2.25</v>
      </c>
    </row>
    <row r="33" spans="1:5" ht="12.75" x14ac:dyDescent="0.2">
      <c r="A33" s="26" t="s">
        <v>39</v>
      </c>
      <c r="B33" s="17" t="s">
        <v>13</v>
      </c>
      <c r="C33" s="17" t="s">
        <v>40</v>
      </c>
    </row>
    <row r="34" spans="1:5" ht="12.75" x14ac:dyDescent="0.2">
      <c r="A34" s="27"/>
      <c r="B34" s="19">
        <f>C30+C25</f>
        <v>1.0343043800636575</v>
      </c>
      <c r="C34" s="19">
        <f>C31+C25</f>
        <v>2.5343043800636575</v>
      </c>
      <c r="E34" s="20"/>
    </row>
    <row r="36" spans="1:5" ht="15.75" customHeight="1" x14ac:dyDescent="0.2">
      <c r="A36" s="28" t="s">
        <v>41</v>
      </c>
      <c r="B36" s="17" t="s">
        <v>13</v>
      </c>
      <c r="C36" s="17" t="s">
        <v>40</v>
      </c>
    </row>
    <row r="37" spans="1:5" ht="15.75" customHeight="1" x14ac:dyDescent="0.2">
      <c r="A37" s="27"/>
      <c r="B37" s="21">
        <f>B34*60*60*24/8/1024</f>
        <v>10.908679008483887</v>
      </c>
      <c r="C37" s="21">
        <f>C34*60*60*24/8/1024</f>
        <v>26.728991508483887</v>
      </c>
    </row>
    <row r="38" spans="1:5" ht="15.75" customHeight="1" x14ac:dyDescent="0.2">
      <c r="B38" s="22">
        <f>B34*60*60*24*30/8/1024</f>
        <v>327.2603702545166</v>
      </c>
      <c r="C38" s="22">
        <f>C34*60*60*24*30/8/1024</f>
        <v>801.8697452545166</v>
      </c>
    </row>
  </sheetData>
  <mergeCells count="2">
    <mergeCell ref="A33:A34"/>
    <mergeCell ref="A36:A37"/>
  </mergeCells>
  <dataValidations count="1">
    <dataValidation type="list" allowBlank="1" showErrorMessage="1" sqref="C27" xr:uid="{00000000-0002-0000-0000-000000000000}">
      <formula1>"4K,Full-HD"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Bandwidth Calc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Averos FZCO</cp:lastModifiedBy>
  <dcterms:modified xsi:type="dcterms:W3CDTF">2025-12-01T23:07:05Z</dcterms:modified>
</cp:coreProperties>
</file>